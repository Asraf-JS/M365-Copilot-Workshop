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 Response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<sst xmlns="http://schemas.openxmlformats.org/spreadsheetml/2006/main" count="324" uniqueCount="117">
  <si>
    <t xml:space="preserve">Respondent ID</t>
  </si>
  <si>
    <t xml:space="preserve">Department</t>
  </si>
  <si>
    <t xml:space="preserve">How often do you use AI tools in your daily work?</t>
  </si>
  <si>
    <t xml:space="preserve">Which Copilot app do you use most?</t>
  </si>
  <si>
    <t xml:space="preserve">How often do you refer to the AI Usage Guideline?</t>
  </si>
  <si>
    <t xml:space="preserve">Rate how much Copilot has improved your productivity (1-5)</t>
  </si>
  <si>
    <t xml:space="preserve">Which task has benefited most from Copilot?</t>
  </si>
  <si>
    <t xml:space="preserve">Has the guideline changed how you approach AI?</t>
  </si>
  <si>
    <t xml:space="preserve">How confident are you in using AI responsibly? (1-5)</t>
  </si>
  <si>
    <t xml:space="preserve">Did you receive enough training to use Copilot effectively?</t>
  </si>
  <si>
    <t xml:space="preserve">Likelihood to recommend Copilot to a colleague (0-10)</t>
  </si>
  <si>
    <t xml:space="preserve">What is working well?</t>
  </si>
  <si>
    <t xml:space="preserve">What would you improve about the guideline?</t>
  </si>
  <si>
    <t xml:space="preserve">R001</t>
  </si>
  <si>
    <t xml:space="preserve">Finance</t>
  </si>
  <si>
    <t xml:space="preserve">Never</t>
  </si>
  <si>
    <t xml:space="preserve">Copilot in Outlook</t>
  </si>
  <si>
    <t xml:space="preserve">Rarely</t>
  </si>
  <si>
    <t xml:space="preserve">Drafting emails</t>
  </si>
  <si>
    <t xml:space="preserve">Somewhat</t>
  </si>
  <si>
    <t xml:space="preserve">Yes</t>
  </si>
  <si>
    <t xml:space="preserve">The guideline is clear and easy to follow</t>
  </si>
  <si>
    <t xml:space="preserve">Could include more use cases for Finance department</t>
  </si>
  <si>
    <t xml:space="preserve">R002</t>
  </si>
  <si>
    <t xml:space="preserve">Marketing</t>
  </si>
  <si>
    <t xml:space="preserve">Sometimes</t>
  </si>
  <si>
    <t xml:space="preserve">Copilot in PowerPoint</t>
  </si>
  <si>
    <t xml:space="preserve">Meeting notes</t>
  </si>
  <si>
    <t xml:space="preserve">No</t>
  </si>
  <si>
    <t xml:space="preserve">The rationale behind each rule is well explained</t>
  </si>
  <si>
    <t xml:space="preserve">More examples specific to our department would be helpful</t>
  </si>
  <si>
    <t xml:space="preserve">R003</t>
  </si>
  <si>
    <t xml:space="preserve">Operations</t>
  </si>
  <si>
    <t xml:space="preserve">Often</t>
  </si>
  <si>
    <t xml:space="preserve">Data analysis</t>
  </si>
  <si>
    <t xml:space="preserve">Good examples of how to use Copilot in real work</t>
  </si>
  <si>
    <t xml:space="preserve">More clarity on approval workflow for new AI tools</t>
  </si>
  <si>
    <t xml:space="preserve">R004</t>
  </si>
  <si>
    <t xml:space="preserve">Human Resources</t>
  </si>
  <si>
    <t xml:space="preserve">Saves time on repetitive tasks like meeting summaries</t>
  </si>
  <si>
    <t xml:space="preserve">Would be useful to have video tutorials alongside the guide</t>
  </si>
  <si>
    <t xml:space="preserve">R005</t>
  </si>
  <si>
    <t xml:space="preserve">Copilot in Word</t>
  </si>
  <si>
    <t xml:space="preserve">Summarising documents</t>
  </si>
  <si>
    <t xml:space="preserve">Training was well structured and easy to apply</t>
  </si>
  <si>
    <t xml:space="preserve">A shorter one-page version for daily reference would be great</t>
  </si>
  <si>
    <t xml:space="preserve">R006</t>
  </si>
  <si>
    <t xml:space="preserve">Customer Service</t>
  </si>
  <si>
    <t xml:space="preserve">Easy to understand even for non-technical staff</t>
  </si>
  <si>
    <t xml:space="preserve">Could be clearer on what types of data cannot be shared with AI</t>
  </si>
  <si>
    <t xml:space="preserve">R007</t>
  </si>
  <si>
    <t xml:space="preserve">Copilot Chat</t>
  </si>
  <si>
    <t xml:space="preserve">The guideline gives me confidence that I am using AI correctly</t>
  </si>
  <si>
    <t xml:space="preserve">Would like guidance on prompting for legal and compliance tasks</t>
  </si>
  <si>
    <t xml:space="preserve">R008</t>
  </si>
  <si>
    <t xml:space="preserve">Copilot in Excel</t>
  </si>
  <si>
    <t xml:space="preserve">Could include a glossary for AI terms</t>
  </si>
  <si>
    <t xml:space="preserve">R009</t>
  </si>
  <si>
    <t xml:space="preserve">Legal</t>
  </si>
  <si>
    <t xml:space="preserve">Clear guidance on data privacy which I was unsure about before</t>
  </si>
  <si>
    <t xml:space="preserve">R010</t>
  </si>
  <si>
    <t xml:space="preserve">Appreciated the hands-on training approach</t>
  </si>
  <si>
    <t xml:space="preserve">Would like benchmarks to measure our AI usage improvement</t>
  </si>
  <si>
    <t xml:space="preserve">R011</t>
  </si>
  <si>
    <t xml:space="preserve">Copilot in Teams has improved our meeting efficiency</t>
  </si>
  <si>
    <t xml:space="preserve">Update the guideline more frequently as AI tools change fast</t>
  </si>
  <si>
    <t xml:space="preserve">R012</t>
  </si>
  <si>
    <t xml:space="preserve">IT</t>
  </si>
  <si>
    <t xml:space="preserve">Always</t>
  </si>
  <si>
    <t xml:space="preserve">Copilot has significantly reduced my report writing time</t>
  </si>
  <si>
    <t xml:space="preserve">Add guidance on how to fact-check AI generated content</t>
  </si>
  <si>
    <t xml:space="preserve">R013</t>
  </si>
  <si>
    <t xml:space="preserve">Useful for onboarding new team members to AI tools</t>
  </si>
  <si>
    <t xml:space="preserve">R014</t>
  </si>
  <si>
    <t xml:space="preserve">Creating presentations</t>
  </si>
  <si>
    <t xml:space="preserve">Love the Copilot in Excel for data analysis</t>
  </si>
  <si>
    <t xml:space="preserve">Regular updates to reflect new Copilot features</t>
  </si>
  <si>
    <t xml:space="preserve">R015</t>
  </si>
  <si>
    <t xml:space="preserve">More guidance on using Copilot in Teams meetings</t>
  </si>
  <si>
    <t xml:space="preserve">R016</t>
  </si>
  <si>
    <t xml:space="preserve">Include guidance on managing AI generated content in records</t>
  </si>
  <si>
    <t xml:space="preserve">R017</t>
  </si>
  <si>
    <t xml:space="preserve">Procurement</t>
  </si>
  <si>
    <t xml:space="preserve">Writing reports</t>
  </si>
  <si>
    <t xml:space="preserve">Really helpful for drafting reports quickly</t>
  </si>
  <si>
    <t xml:space="preserve">R018</t>
  </si>
  <si>
    <t xml:space="preserve">Practical and not overly technical</t>
  </si>
  <si>
    <t xml:space="preserve">Would benefit from department specific appendices</t>
  </si>
  <si>
    <t xml:space="preserve">R019</t>
  </si>
  <si>
    <t xml:space="preserve">R020</t>
  </si>
  <si>
    <t xml:space="preserve">Copilot in Outlook has saved me a lot of time with emails</t>
  </si>
  <si>
    <t xml:space="preserve">Include more information about data security risks</t>
  </si>
  <si>
    <t xml:space="preserve">R021</t>
  </si>
  <si>
    <t xml:space="preserve">Copilot in PowerPoint is a game changer for presentations</t>
  </si>
  <si>
    <t xml:space="preserve">More practical exercises during the training session</t>
  </si>
  <si>
    <t xml:space="preserve">R022</t>
  </si>
  <si>
    <t xml:space="preserve">The summary table at the end is very handy</t>
  </si>
  <si>
    <t xml:space="preserve">R023</t>
  </si>
  <si>
    <t xml:space="preserve">More guidance on using Copilot for data analysis in Excel</t>
  </si>
  <si>
    <t xml:space="preserve">R024</t>
  </si>
  <si>
    <t xml:space="preserve">Add a quick reference card version for easy pinning</t>
  </si>
  <si>
    <t xml:space="preserve">R025</t>
  </si>
  <si>
    <t xml:space="preserve">R026</t>
  </si>
  <si>
    <t xml:space="preserve">R027</t>
  </si>
  <si>
    <t xml:space="preserve">R028</t>
  </si>
  <si>
    <t xml:space="preserve">Copilot in Teams</t>
  </si>
  <si>
    <t xml:space="preserve">Would like more advanced prompting techniques</t>
  </si>
  <si>
    <t xml:space="preserve">R029</t>
  </si>
  <si>
    <t xml:space="preserve">Short and concise, easy to read during a busy day</t>
  </si>
  <si>
    <t xml:space="preserve">R030</t>
  </si>
  <si>
    <t xml:space="preserve">More guidance on using Copilot for HR processes specifically</t>
  </si>
  <si>
    <t xml:space="preserve">AI Usage Guideline — Survey Summary</t>
  </si>
  <si>
    <t xml:space="preserve">Total Responses</t>
  </si>
  <si>
    <t xml:space="preserve">Average Productivity Rating (1-5)</t>
  </si>
  <si>
    <t xml:space="preserve">Average Confidence Rating (1-5)</t>
  </si>
  <si>
    <t xml:space="preserve">Average NPS Score (0-10)</t>
  </si>
  <si>
    <t xml:space="preserve">Usage Frequency Breakdown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</si>
</sst>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5" min="3" style="0" width="22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14"/>
    <col collapsed="false" customWidth="true" hidden="false" outlineLevel="0" max="13" min="12" style="0" width="40"/>
  </cols>
  <sheetData>
    <row r="1" customFormat="false" ht="4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39.75" hidden="false" customHeight="tru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n">
        <v>2</v>
      </c>
      <c r="G2" s="2" t="s">
        <v>18</v>
      </c>
      <c r="H2" s="2" t="s">
        <v>19</v>
      </c>
      <c r="I2" s="2" t="n">
        <v>5</v>
      </c>
      <c r="J2" s="2" t="s">
        <v>20</v>
      </c>
      <c r="K2" s="2" t="n">
        <v>7</v>
      </c>
      <c r="L2" s="2" t="s">
        <v>21</v>
      </c>
      <c r="M2" s="2" t="s">
        <v>22</v>
      </c>
    </row>
    <row r="3" customFormat="false" ht="39.75" hidden="false" customHeight="true" outlineLevel="0" collapsed="false">
      <c r="A3" s="3" t="s">
        <v>23</v>
      </c>
      <c r="B3" s="3" t="s">
        <v>24</v>
      </c>
      <c r="C3" s="3" t="s">
        <v>25</v>
      </c>
      <c r="D3" s="3" t="s">
        <v>26</v>
      </c>
      <c r="E3" s="3" t="s">
        <v>15</v>
      </c>
      <c r="F3" s="3" t="n">
        <v>2</v>
      </c>
      <c r="G3" s="3" t="s">
        <v>27</v>
      </c>
      <c r="H3" s="3" t="s">
        <v>19</v>
      </c>
      <c r="I3" s="3" t="n">
        <v>3</v>
      </c>
      <c r="J3" s="3" t="s">
        <v>28</v>
      </c>
      <c r="K3" s="3" t="n">
        <v>6</v>
      </c>
      <c r="L3" s="3" t="s">
        <v>29</v>
      </c>
      <c r="M3" s="3" t="s">
        <v>30</v>
      </c>
    </row>
    <row r="4" customFormat="false" ht="39.75" hidden="false" customHeight="true" outlineLevel="0" collapsed="false">
      <c r="A4" s="2" t="s">
        <v>31</v>
      </c>
      <c r="B4" s="2" t="s">
        <v>32</v>
      </c>
      <c r="C4" s="2" t="s">
        <v>33</v>
      </c>
      <c r="D4" s="2" t="s">
        <v>16</v>
      </c>
      <c r="E4" s="2" t="s">
        <v>17</v>
      </c>
      <c r="F4" s="2" t="n">
        <v>2</v>
      </c>
      <c r="G4" s="2" t="s">
        <v>34</v>
      </c>
      <c r="H4" s="2" t="s">
        <v>20</v>
      </c>
      <c r="I4" s="2" t="n">
        <v>3</v>
      </c>
      <c r="J4" s="2" t="s">
        <v>28</v>
      </c>
      <c r="K4" s="2" t="n">
        <v>6</v>
      </c>
      <c r="L4" s="2" t="s">
        <v>35</v>
      </c>
      <c r="M4" s="2" t="s">
        <v>36</v>
      </c>
    </row>
    <row r="5" customFormat="false" ht="39.75" hidden="false" customHeight="true" outlineLevel="0" collapsed="false">
      <c r="A5" s="3" t="s">
        <v>37</v>
      </c>
      <c r="B5" s="3" t="s">
        <v>38</v>
      </c>
      <c r="C5" s="3" t="s">
        <v>33</v>
      </c>
      <c r="D5" s="3" t="s">
        <v>26</v>
      </c>
      <c r="E5" s="3" t="s">
        <v>17</v>
      </c>
      <c r="F5" s="3" t="n">
        <v>5</v>
      </c>
      <c r="G5" s="3" t="s">
        <v>18</v>
      </c>
      <c r="H5" s="3" t="s">
        <v>19</v>
      </c>
      <c r="I5" s="3" t="n">
        <v>4</v>
      </c>
      <c r="J5" s="3" t="s">
        <v>19</v>
      </c>
      <c r="K5" s="3" t="n">
        <v>9</v>
      </c>
      <c r="L5" s="3" t="s">
        <v>39</v>
      </c>
      <c r="M5" s="3" t="s">
        <v>40</v>
      </c>
    </row>
    <row r="6" customFormat="false" ht="39.75" hidden="false" customHeight="true" outlineLevel="0" collapsed="false">
      <c r="A6" s="2" t="s">
        <v>41</v>
      </c>
      <c r="B6" s="2" t="s">
        <v>14</v>
      </c>
      <c r="C6" s="2" t="s">
        <v>15</v>
      </c>
      <c r="D6" s="2" t="s">
        <v>42</v>
      </c>
      <c r="E6" s="2" t="s">
        <v>33</v>
      </c>
      <c r="F6" s="2" t="n">
        <v>5</v>
      </c>
      <c r="G6" s="2" t="s">
        <v>43</v>
      </c>
      <c r="H6" s="2" t="s">
        <v>19</v>
      </c>
      <c r="I6" s="2" t="n">
        <v>3</v>
      </c>
      <c r="J6" s="2" t="s">
        <v>28</v>
      </c>
      <c r="K6" s="2" t="n">
        <v>9</v>
      </c>
      <c r="L6" s="2" t="s">
        <v>44</v>
      </c>
      <c r="M6" s="2" t="s">
        <v>45</v>
      </c>
    </row>
    <row r="7" customFormat="false" ht="39.75" hidden="false" customHeight="true" outlineLevel="0" collapsed="false">
      <c r="A7" s="3" t="s">
        <v>46</v>
      </c>
      <c r="B7" s="3" t="s">
        <v>47</v>
      </c>
      <c r="C7" s="3" t="s">
        <v>25</v>
      </c>
      <c r="D7" s="3" t="s">
        <v>16</v>
      </c>
      <c r="E7" s="3" t="s">
        <v>25</v>
      </c>
      <c r="F7" s="3" t="n">
        <v>4</v>
      </c>
      <c r="G7" s="3" t="s">
        <v>18</v>
      </c>
      <c r="H7" s="3" t="s">
        <v>19</v>
      </c>
      <c r="I7" s="3" t="n">
        <v>2</v>
      </c>
      <c r="J7" s="3" t="s">
        <v>19</v>
      </c>
      <c r="K7" s="3" t="n">
        <v>4</v>
      </c>
      <c r="L7" s="3" t="s">
        <v>48</v>
      </c>
      <c r="M7" s="3" t="s">
        <v>49</v>
      </c>
    </row>
    <row r="8" customFormat="false" ht="39.75" hidden="false" customHeight="true" outlineLevel="0" collapsed="false">
      <c r="A8" s="2" t="s">
        <v>50</v>
      </c>
      <c r="B8" s="2" t="s">
        <v>24</v>
      </c>
      <c r="C8" s="2" t="s">
        <v>33</v>
      </c>
      <c r="D8" s="2" t="s">
        <v>51</v>
      </c>
      <c r="E8" s="2" t="s">
        <v>17</v>
      </c>
      <c r="F8" s="2" t="n">
        <v>1</v>
      </c>
      <c r="G8" s="2" t="s">
        <v>34</v>
      </c>
      <c r="H8" s="2" t="s">
        <v>28</v>
      </c>
      <c r="I8" s="2" t="n">
        <v>1</v>
      </c>
      <c r="J8" s="2" t="s">
        <v>19</v>
      </c>
      <c r="K8" s="2" t="n">
        <v>7</v>
      </c>
      <c r="L8" s="2" t="s">
        <v>52</v>
      </c>
      <c r="M8" s="2" t="s">
        <v>53</v>
      </c>
    </row>
    <row r="9" customFormat="false" ht="39.75" hidden="false" customHeight="true" outlineLevel="0" collapsed="false">
      <c r="A9" s="3" t="s">
        <v>54</v>
      </c>
      <c r="B9" s="3" t="s">
        <v>24</v>
      </c>
      <c r="C9" s="3" t="s">
        <v>33</v>
      </c>
      <c r="D9" s="3" t="s">
        <v>55</v>
      </c>
      <c r="E9" s="3" t="s">
        <v>33</v>
      </c>
      <c r="F9" s="3" t="n">
        <v>4</v>
      </c>
      <c r="G9" s="3" t="s">
        <v>43</v>
      </c>
      <c r="H9" s="3" t="s">
        <v>20</v>
      </c>
      <c r="I9" s="3" t="n">
        <v>3</v>
      </c>
      <c r="J9" s="3" t="s">
        <v>19</v>
      </c>
      <c r="K9" s="3" t="n">
        <v>6</v>
      </c>
      <c r="L9" s="3" t="s">
        <v>39</v>
      </c>
      <c r="M9" s="3" t="s">
        <v>56</v>
      </c>
    </row>
    <row r="10" customFormat="false" ht="39.75" hidden="false" customHeight="true" outlineLevel="0" collapsed="false">
      <c r="A10" s="2" t="s">
        <v>57</v>
      </c>
      <c r="B10" s="2" t="s">
        <v>58</v>
      </c>
      <c r="C10" s="2" t="s">
        <v>25</v>
      </c>
      <c r="D10" s="2" t="s">
        <v>42</v>
      </c>
      <c r="E10" s="2" t="s">
        <v>25</v>
      </c>
      <c r="F10" s="2" t="n">
        <v>2</v>
      </c>
      <c r="G10" s="2" t="s">
        <v>18</v>
      </c>
      <c r="H10" s="2" t="s">
        <v>19</v>
      </c>
      <c r="I10" s="2" t="n">
        <v>2</v>
      </c>
      <c r="J10" s="2" t="s">
        <v>20</v>
      </c>
      <c r="K10" s="2" t="n">
        <v>8</v>
      </c>
      <c r="L10" s="2" t="s">
        <v>59</v>
      </c>
      <c r="M10" s="2" t="s">
        <v>22</v>
      </c>
    </row>
    <row r="11" customFormat="false" ht="39.75" hidden="false" customHeight="true" outlineLevel="0" collapsed="false">
      <c r="A11" s="3" t="s">
        <v>60</v>
      </c>
      <c r="B11" s="3" t="s">
        <v>58</v>
      </c>
      <c r="C11" s="3" t="s">
        <v>25</v>
      </c>
      <c r="D11" s="3" t="s">
        <v>55</v>
      </c>
      <c r="E11" s="3" t="s">
        <v>25</v>
      </c>
      <c r="F11" s="3" t="n">
        <v>5</v>
      </c>
      <c r="G11" s="3" t="s">
        <v>18</v>
      </c>
      <c r="H11" s="3" t="s">
        <v>19</v>
      </c>
      <c r="I11" s="3" t="n">
        <v>2</v>
      </c>
      <c r="J11" s="3" t="s">
        <v>19</v>
      </c>
      <c r="K11" s="3" t="n">
        <v>8</v>
      </c>
      <c r="L11" s="3" t="s">
        <v>61</v>
      </c>
      <c r="M11" s="3" t="s">
        <v>62</v>
      </c>
    </row>
    <row r="12" customFormat="false" ht="39.75" hidden="false" customHeight="true" outlineLevel="0" collapsed="false">
      <c r="A12" s="2" t="s">
        <v>63</v>
      </c>
      <c r="B12" s="2" t="s">
        <v>47</v>
      </c>
      <c r="C12" s="2" t="s">
        <v>17</v>
      </c>
      <c r="D12" s="2" t="s">
        <v>55</v>
      </c>
      <c r="E12" s="2" t="s">
        <v>17</v>
      </c>
      <c r="F12" s="2" t="n">
        <v>1</v>
      </c>
      <c r="G12" s="2" t="s">
        <v>27</v>
      </c>
      <c r="H12" s="2" t="s">
        <v>19</v>
      </c>
      <c r="I12" s="2" t="n">
        <v>3</v>
      </c>
      <c r="J12" s="2" t="s">
        <v>19</v>
      </c>
      <c r="K12" s="2" t="n">
        <v>5</v>
      </c>
      <c r="L12" s="2" t="s">
        <v>64</v>
      </c>
      <c r="M12" s="2" t="s">
        <v>65</v>
      </c>
    </row>
    <row r="13" customFormat="false" ht="39.75" hidden="false" customHeight="true" outlineLevel="0" collapsed="false">
      <c r="A13" s="3" t="s">
        <v>66</v>
      </c>
      <c r="B13" s="3" t="s">
        <v>67</v>
      </c>
      <c r="C13" s="3" t="s">
        <v>68</v>
      </c>
      <c r="D13" s="3" t="s">
        <v>26</v>
      </c>
      <c r="E13" s="3" t="s">
        <v>25</v>
      </c>
      <c r="F13" s="3" t="n">
        <v>2</v>
      </c>
      <c r="G13" s="3" t="s">
        <v>43</v>
      </c>
      <c r="H13" s="3" t="s">
        <v>28</v>
      </c>
      <c r="I13" s="3" t="n">
        <v>4</v>
      </c>
      <c r="J13" s="3" t="s">
        <v>19</v>
      </c>
      <c r="K13" s="3" t="n">
        <v>0</v>
      </c>
      <c r="L13" s="3" t="s">
        <v>69</v>
      </c>
      <c r="M13" s="3" t="s">
        <v>70</v>
      </c>
    </row>
    <row r="14" customFormat="false" ht="39.75" hidden="false" customHeight="true" outlineLevel="0" collapsed="false">
      <c r="A14" s="2" t="s">
        <v>71</v>
      </c>
      <c r="B14" s="2" t="s">
        <v>38</v>
      </c>
      <c r="C14" s="2" t="s">
        <v>17</v>
      </c>
      <c r="D14" s="2" t="s">
        <v>16</v>
      </c>
      <c r="E14" s="2" t="s">
        <v>33</v>
      </c>
      <c r="F14" s="2" t="n">
        <v>4</v>
      </c>
      <c r="G14" s="2" t="s">
        <v>34</v>
      </c>
      <c r="H14" s="2" t="s">
        <v>20</v>
      </c>
      <c r="I14" s="2" t="n">
        <v>3</v>
      </c>
      <c r="J14" s="2" t="s">
        <v>19</v>
      </c>
      <c r="K14" s="2" t="n">
        <v>3</v>
      </c>
      <c r="L14" s="2" t="s">
        <v>72</v>
      </c>
      <c r="M14" s="2" t="s">
        <v>70</v>
      </c>
    </row>
    <row r="15" customFormat="false" ht="39.75" hidden="false" customHeight="true" outlineLevel="0" collapsed="false">
      <c r="A15" s="3" t="s">
        <v>73</v>
      </c>
      <c r="B15" s="3" t="s">
        <v>14</v>
      </c>
      <c r="C15" s="3" t="s">
        <v>68</v>
      </c>
      <c r="D15" s="3" t="s">
        <v>26</v>
      </c>
      <c r="E15" s="3" t="s">
        <v>25</v>
      </c>
      <c r="F15" s="3" t="n">
        <v>2</v>
      </c>
      <c r="G15" s="3" t="s">
        <v>74</v>
      </c>
      <c r="H15" s="3" t="s">
        <v>19</v>
      </c>
      <c r="I15" s="3" t="n">
        <v>2</v>
      </c>
      <c r="J15" s="3" t="s">
        <v>19</v>
      </c>
      <c r="K15" s="3" t="n">
        <v>8</v>
      </c>
      <c r="L15" s="3" t="s">
        <v>75</v>
      </c>
      <c r="M15" s="3" t="s">
        <v>76</v>
      </c>
    </row>
    <row r="16" customFormat="false" ht="39.75" hidden="false" customHeight="true" outlineLevel="0" collapsed="false">
      <c r="A16" s="2" t="s">
        <v>77</v>
      </c>
      <c r="B16" s="2" t="s">
        <v>24</v>
      </c>
      <c r="C16" s="2" t="s">
        <v>33</v>
      </c>
      <c r="D16" s="2" t="s">
        <v>55</v>
      </c>
      <c r="E16" s="2" t="s">
        <v>68</v>
      </c>
      <c r="F16" s="2" t="n">
        <v>4</v>
      </c>
      <c r="G16" s="2" t="s">
        <v>74</v>
      </c>
      <c r="H16" s="2" t="s">
        <v>19</v>
      </c>
      <c r="I16" s="2" t="n">
        <v>3</v>
      </c>
      <c r="J16" s="2" t="s">
        <v>20</v>
      </c>
      <c r="K16" s="2" t="n">
        <v>2</v>
      </c>
      <c r="L16" s="2" t="s">
        <v>21</v>
      </c>
      <c r="M16" s="2" t="s">
        <v>78</v>
      </c>
    </row>
    <row r="17" customFormat="false" ht="39.75" hidden="false" customHeight="true" outlineLevel="0" collapsed="false">
      <c r="A17" s="3" t="s">
        <v>79</v>
      </c>
      <c r="B17" s="3" t="s">
        <v>24</v>
      </c>
      <c r="C17" s="3" t="s">
        <v>33</v>
      </c>
      <c r="D17" s="3" t="s">
        <v>51</v>
      </c>
      <c r="E17" s="3" t="s">
        <v>15</v>
      </c>
      <c r="F17" s="3" t="n">
        <v>4</v>
      </c>
      <c r="G17" s="3" t="s">
        <v>43</v>
      </c>
      <c r="H17" s="3" t="s">
        <v>20</v>
      </c>
      <c r="I17" s="3" t="n">
        <v>1</v>
      </c>
      <c r="J17" s="3" t="s">
        <v>20</v>
      </c>
      <c r="K17" s="3" t="n">
        <v>7</v>
      </c>
      <c r="L17" s="3" t="s">
        <v>35</v>
      </c>
      <c r="M17" s="3" t="s">
        <v>80</v>
      </c>
    </row>
    <row r="18" customFormat="false" ht="39.75" hidden="false" customHeight="true" outlineLevel="0" collapsed="false">
      <c r="A18" s="2" t="s">
        <v>81</v>
      </c>
      <c r="B18" s="2" t="s">
        <v>82</v>
      </c>
      <c r="C18" s="2" t="s">
        <v>25</v>
      </c>
      <c r="D18" s="2" t="s">
        <v>42</v>
      </c>
      <c r="E18" s="2" t="s">
        <v>25</v>
      </c>
      <c r="F18" s="2" t="n">
        <v>4</v>
      </c>
      <c r="G18" s="2" t="s">
        <v>83</v>
      </c>
      <c r="H18" s="2" t="s">
        <v>28</v>
      </c>
      <c r="I18" s="2" t="n">
        <v>4</v>
      </c>
      <c r="J18" s="2" t="s">
        <v>19</v>
      </c>
      <c r="K18" s="2" t="n">
        <v>5</v>
      </c>
      <c r="L18" s="2" t="s">
        <v>84</v>
      </c>
      <c r="M18" s="2" t="s">
        <v>80</v>
      </c>
    </row>
    <row r="19" customFormat="false" ht="39.75" hidden="false" customHeight="true" outlineLevel="0" collapsed="false">
      <c r="A19" s="3" t="s">
        <v>85</v>
      </c>
      <c r="B19" s="3" t="s">
        <v>58</v>
      </c>
      <c r="C19" s="3" t="s">
        <v>25</v>
      </c>
      <c r="D19" s="3" t="s">
        <v>55</v>
      </c>
      <c r="E19" s="3" t="s">
        <v>25</v>
      </c>
      <c r="F19" s="3" t="n">
        <v>4</v>
      </c>
      <c r="G19" s="3" t="s">
        <v>27</v>
      </c>
      <c r="H19" s="3" t="s">
        <v>19</v>
      </c>
      <c r="I19" s="3" t="n">
        <v>4</v>
      </c>
      <c r="J19" s="3" t="s">
        <v>20</v>
      </c>
      <c r="K19" s="3" t="n">
        <v>8</v>
      </c>
      <c r="L19" s="3" t="s">
        <v>86</v>
      </c>
      <c r="M19" s="3" t="s">
        <v>87</v>
      </c>
    </row>
    <row r="20" customFormat="false" ht="39.75" hidden="false" customHeight="true" outlineLevel="0" collapsed="false">
      <c r="A20" s="2" t="s">
        <v>88</v>
      </c>
      <c r="B20" s="2" t="s">
        <v>14</v>
      </c>
      <c r="C20" s="2" t="s">
        <v>25</v>
      </c>
      <c r="D20" s="2" t="s">
        <v>42</v>
      </c>
      <c r="E20" s="2" t="s">
        <v>25</v>
      </c>
      <c r="F20" s="2" t="n">
        <v>2</v>
      </c>
      <c r="G20" s="2" t="s">
        <v>43</v>
      </c>
      <c r="H20" s="2" t="s">
        <v>20</v>
      </c>
      <c r="I20" s="2" t="n">
        <v>3</v>
      </c>
      <c r="J20" s="2" t="s">
        <v>19</v>
      </c>
      <c r="K20" s="2" t="n">
        <v>7</v>
      </c>
      <c r="L20" s="2" t="s">
        <v>29</v>
      </c>
      <c r="M20" s="2" t="s">
        <v>87</v>
      </c>
    </row>
    <row r="21" customFormat="false" ht="39.75" hidden="false" customHeight="true" outlineLevel="0" collapsed="false">
      <c r="A21" s="3" t="s">
        <v>89</v>
      </c>
      <c r="B21" s="3" t="s">
        <v>14</v>
      </c>
      <c r="C21" s="3" t="s">
        <v>15</v>
      </c>
      <c r="D21" s="3" t="s">
        <v>26</v>
      </c>
      <c r="E21" s="3" t="s">
        <v>33</v>
      </c>
      <c r="F21" s="3" t="n">
        <v>5</v>
      </c>
      <c r="G21" s="3" t="s">
        <v>43</v>
      </c>
      <c r="H21" s="3" t="s">
        <v>20</v>
      </c>
      <c r="I21" s="3" t="n">
        <v>4</v>
      </c>
      <c r="J21" s="3" t="s">
        <v>20</v>
      </c>
      <c r="K21" s="3" t="n">
        <v>7</v>
      </c>
      <c r="L21" s="3" t="s">
        <v>90</v>
      </c>
      <c r="M21" s="3" t="s">
        <v>91</v>
      </c>
    </row>
    <row r="22" customFormat="false" ht="39.75" hidden="false" customHeight="true" outlineLevel="0" collapsed="false">
      <c r="A22" s="2" t="s">
        <v>92</v>
      </c>
      <c r="B22" s="2" t="s">
        <v>58</v>
      </c>
      <c r="C22" s="2" t="s">
        <v>15</v>
      </c>
      <c r="D22" s="2" t="s">
        <v>55</v>
      </c>
      <c r="E22" s="2" t="s">
        <v>17</v>
      </c>
      <c r="F22" s="2" t="n">
        <v>4</v>
      </c>
      <c r="G22" s="2" t="s">
        <v>74</v>
      </c>
      <c r="H22" s="2" t="s">
        <v>20</v>
      </c>
      <c r="I22" s="2" t="n">
        <v>4</v>
      </c>
      <c r="J22" s="2" t="s">
        <v>19</v>
      </c>
      <c r="K22" s="2" t="n">
        <v>9</v>
      </c>
      <c r="L22" s="2" t="s">
        <v>93</v>
      </c>
      <c r="M22" s="2" t="s">
        <v>94</v>
      </c>
    </row>
    <row r="23" customFormat="false" ht="39.75" hidden="false" customHeight="true" outlineLevel="0" collapsed="false">
      <c r="A23" s="3" t="s">
        <v>95</v>
      </c>
      <c r="B23" s="3" t="s">
        <v>82</v>
      </c>
      <c r="C23" s="3" t="s">
        <v>17</v>
      </c>
      <c r="D23" s="3" t="s">
        <v>16</v>
      </c>
      <c r="E23" s="3" t="s">
        <v>17</v>
      </c>
      <c r="F23" s="3" t="n">
        <v>1</v>
      </c>
      <c r="G23" s="3" t="s">
        <v>27</v>
      </c>
      <c r="H23" s="3" t="s">
        <v>28</v>
      </c>
      <c r="I23" s="3" t="n">
        <v>4</v>
      </c>
      <c r="J23" s="3" t="s">
        <v>20</v>
      </c>
      <c r="K23" s="3" t="n">
        <v>8</v>
      </c>
      <c r="L23" s="3" t="s">
        <v>96</v>
      </c>
      <c r="M23" s="3" t="s">
        <v>76</v>
      </c>
    </row>
    <row r="24" customFormat="false" ht="39.75" hidden="false" customHeight="true" outlineLevel="0" collapsed="false">
      <c r="A24" s="2" t="s">
        <v>97</v>
      </c>
      <c r="B24" s="2" t="s">
        <v>32</v>
      </c>
      <c r="C24" s="2" t="s">
        <v>15</v>
      </c>
      <c r="D24" s="2" t="s">
        <v>26</v>
      </c>
      <c r="E24" s="2" t="s">
        <v>15</v>
      </c>
      <c r="F24" s="2" t="n">
        <v>2</v>
      </c>
      <c r="G24" s="2" t="s">
        <v>83</v>
      </c>
      <c r="H24" s="2" t="s">
        <v>20</v>
      </c>
      <c r="I24" s="2" t="n">
        <v>4</v>
      </c>
      <c r="J24" s="2" t="s">
        <v>28</v>
      </c>
      <c r="K24" s="2" t="n">
        <v>10</v>
      </c>
      <c r="L24" s="2" t="s">
        <v>39</v>
      </c>
      <c r="M24" s="2" t="s">
        <v>98</v>
      </c>
    </row>
    <row r="25" customFormat="false" ht="39.75" hidden="false" customHeight="true" outlineLevel="0" collapsed="false">
      <c r="A25" s="3" t="s">
        <v>99</v>
      </c>
      <c r="B25" s="3" t="s">
        <v>38</v>
      </c>
      <c r="C25" s="3" t="s">
        <v>33</v>
      </c>
      <c r="D25" s="3" t="s">
        <v>55</v>
      </c>
      <c r="E25" s="3" t="s">
        <v>25</v>
      </c>
      <c r="F25" s="3" t="n">
        <v>3</v>
      </c>
      <c r="G25" s="3" t="s">
        <v>34</v>
      </c>
      <c r="H25" s="3" t="s">
        <v>19</v>
      </c>
      <c r="I25" s="3" t="n">
        <v>3</v>
      </c>
      <c r="J25" s="3" t="s">
        <v>19</v>
      </c>
      <c r="K25" s="3" t="n">
        <v>5</v>
      </c>
      <c r="L25" s="3" t="s">
        <v>48</v>
      </c>
      <c r="M25" s="3" t="s">
        <v>100</v>
      </c>
    </row>
    <row r="26" customFormat="false" ht="39.75" hidden="false" customHeight="true" outlineLevel="0" collapsed="false">
      <c r="A26" s="2" t="s">
        <v>101</v>
      </c>
      <c r="B26" s="2" t="s">
        <v>67</v>
      </c>
      <c r="C26" s="2" t="s">
        <v>25</v>
      </c>
      <c r="D26" s="2" t="s">
        <v>51</v>
      </c>
      <c r="E26" s="2" t="s">
        <v>15</v>
      </c>
      <c r="F26" s="2" t="n">
        <v>4</v>
      </c>
      <c r="G26" s="2" t="s">
        <v>83</v>
      </c>
      <c r="H26" s="2" t="s">
        <v>19</v>
      </c>
      <c r="I26" s="2" t="n">
        <v>2</v>
      </c>
      <c r="J26" s="2" t="s">
        <v>20</v>
      </c>
      <c r="K26" s="2" t="n">
        <v>6</v>
      </c>
      <c r="L26" s="2" t="s">
        <v>64</v>
      </c>
      <c r="M26" s="2" t="s">
        <v>45</v>
      </c>
    </row>
    <row r="27" customFormat="false" ht="39.75" hidden="false" customHeight="true" outlineLevel="0" collapsed="false">
      <c r="A27" s="3" t="s">
        <v>102</v>
      </c>
      <c r="B27" s="3" t="s">
        <v>14</v>
      </c>
      <c r="C27" s="3" t="s">
        <v>68</v>
      </c>
      <c r="D27" s="3" t="s">
        <v>16</v>
      </c>
      <c r="E27" s="3" t="s">
        <v>17</v>
      </c>
      <c r="F27" s="3" t="n">
        <v>3</v>
      </c>
      <c r="G27" s="3" t="s">
        <v>83</v>
      </c>
      <c r="H27" s="3" t="s">
        <v>19</v>
      </c>
      <c r="I27" s="3" t="n">
        <v>4</v>
      </c>
      <c r="J27" s="3" t="s">
        <v>19</v>
      </c>
      <c r="K27" s="3" t="n">
        <v>8</v>
      </c>
      <c r="L27" s="3" t="s">
        <v>21</v>
      </c>
      <c r="M27" s="3" t="s">
        <v>80</v>
      </c>
    </row>
    <row r="28" customFormat="false" ht="39.75" hidden="false" customHeight="true" outlineLevel="0" collapsed="false">
      <c r="A28" s="2" t="s">
        <v>103</v>
      </c>
      <c r="B28" s="2" t="s">
        <v>67</v>
      </c>
      <c r="C28" s="2" t="s">
        <v>68</v>
      </c>
      <c r="D28" s="2" t="s">
        <v>51</v>
      </c>
      <c r="E28" s="2" t="s">
        <v>68</v>
      </c>
      <c r="F28" s="2" t="n">
        <v>2</v>
      </c>
      <c r="G28" s="2" t="s">
        <v>18</v>
      </c>
      <c r="H28" s="2" t="s">
        <v>19</v>
      </c>
      <c r="I28" s="2" t="n">
        <v>4</v>
      </c>
      <c r="J28" s="2" t="s">
        <v>20</v>
      </c>
      <c r="K28" s="2" t="n">
        <v>6</v>
      </c>
      <c r="L28" s="2" t="s">
        <v>75</v>
      </c>
      <c r="M28" s="2" t="s">
        <v>94</v>
      </c>
    </row>
    <row r="29" customFormat="false" ht="39.75" hidden="false" customHeight="true" outlineLevel="0" collapsed="false">
      <c r="A29" s="3" t="s">
        <v>104</v>
      </c>
      <c r="B29" s="3" t="s">
        <v>47</v>
      </c>
      <c r="C29" s="3" t="s">
        <v>25</v>
      </c>
      <c r="D29" s="3" t="s">
        <v>105</v>
      </c>
      <c r="E29" s="3" t="s">
        <v>33</v>
      </c>
      <c r="F29" s="3" t="n">
        <v>3</v>
      </c>
      <c r="G29" s="3" t="s">
        <v>34</v>
      </c>
      <c r="H29" s="3" t="s">
        <v>19</v>
      </c>
      <c r="I29" s="3" t="n">
        <v>4</v>
      </c>
      <c r="J29" s="3" t="s">
        <v>20</v>
      </c>
      <c r="K29" s="3" t="n">
        <v>7</v>
      </c>
      <c r="L29" s="3" t="s">
        <v>35</v>
      </c>
      <c r="M29" s="3" t="s">
        <v>106</v>
      </c>
    </row>
    <row r="30" customFormat="false" ht="39.75" hidden="false" customHeight="true" outlineLevel="0" collapsed="false">
      <c r="A30" s="2" t="s">
        <v>107</v>
      </c>
      <c r="B30" s="2" t="s">
        <v>38</v>
      </c>
      <c r="C30" s="2" t="s">
        <v>25</v>
      </c>
      <c r="D30" s="2" t="s">
        <v>42</v>
      </c>
      <c r="E30" s="2" t="s">
        <v>25</v>
      </c>
      <c r="F30" s="2" t="n">
        <v>3</v>
      </c>
      <c r="G30" s="2" t="s">
        <v>27</v>
      </c>
      <c r="H30" s="2" t="s">
        <v>28</v>
      </c>
      <c r="I30" s="2" t="n">
        <v>4</v>
      </c>
      <c r="J30" s="2" t="s">
        <v>19</v>
      </c>
      <c r="K30" s="2" t="n">
        <v>3</v>
      </c>
      <c r="L30" s="2" t="s">
        <v>108</v>
      </c>
      <c r="M30" s="2" t="s">
        <v>94</v>
      </c>
    </row>
    <row r="31" customFormat="false" ht="39.75" hidden="false" customHeight="true" outlineLevel="0" collapsed="false">
      <c r="A31" s="3" t="s">
        <v>109</v>
      </c>
      <c r="B31" s="3" t="s">
        <v>32</v>
      </c>
      <c r="C31" s="3" t="s">
        <v>33</v>
      </c>
      <c r="D31" s="3" t="s">
        <v>16</v>
      </c>
      <c r="E31" s="3" t="s">
        <v>25</v>
      </c>
      <c r="F31" s="3" t="n">
        <v>2</v>
      </c>
      <c r="G31" s="3" t="s">
        <v>43</v>
      </c>
      <c r="H31" s="3" t="s">
        <v>20</v>
      </c>
      <c r="I31" s="3" t="n">
        <v>3</v>
      </c>
      <c r="J31" s="3" t="s">
        <v>19</v>
      </c>
      <c r="K31" s="3" t="n">
        <v>10</v>
      </c>
      <c r="L31" s="3" t="s">
        <v>90</v>
      </c>
      <c r="M31" s="3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4" t="s">
        <v>111</v>
      </c>
    </row>
    <row r="3" customFormat="false" ht="15" hidden="false" customHeight="false" outlineLevel="0" collapsed="false">
      <c r="A3" s="5" t="s">
        <v>112</v>
      </c>
      <c r="B3" s="0" t="n">
        <f aca="false">COUNTA('Survey Responses'!A2:A31)</f>
        <v>30</v>
      </c>
    </row>
    <row r="4" customFormat="false" ht="15" hidden="false" customHeight="false" outlineLevel="0" collapsed="false">
      <c r="A4" s="5" t="s">
        <v>113</v>
      </c>
      <c r="B4" s="6" t="n">
        <f aca="false">AVERAGE('Survey Responses'!F2:F31)</f>
        <v>3.03333333333333</v>
      </c>
    </row>
    <row r="5" customFormat="false" ht="15" hidden="false" customHeight="false" outlineLevel="0" collapsed="false">
      <c r="A5" s="5" t="s">
        <v>114</v>
      </c>
      <c r="B5" s="6" t="n">
        <f aca="false">AVERAGE('Survey Responses'!I2:I31)</f>
        <v>3.16666666666667</v>
      </c>
    </row>
    <row r="6" customFormat="false" ht="15" hidden="false" customHeight="false" outlineLevel="0" collapsed="false">
      <c r="A6" s="5" t="s">
        <v>115</v>
      </c>
      <c r="B6" s="6" t="n">
        <f aca="false">AVERAGE('Survey Responses'!K2:K31)</f>
        <v>6.46666666666667</v>
      </c>
    </row>
    <row r="8" customFormat="false" ht="15" hidden="false" customHeight="false" outlineLevel="0" collapsed="false">
      <c r="A8" s="7" t="s">
        <v>116</v>
      </c>
    </row>
    <row r="9" customFormat="false" ht="15" hidden="false" customHeight="false" outlineLevel="0" collapsed="false">
      <c r="A9" s="8" t="s">
        <v>15</v>
      </c>
      <c r="B9" s="0" t="n">
        <f aca="false">COUNTIF('Survey Responses'!C2:C31,"Never")</f>
        <v>5</v>
      </c>
    </row>
    <row r="10" customFormat="false" ht="15" hidden="false" customHeight="false" outlineLevel="0" collapsed="false">
      <c r="A10" s="8" t="s">
        <v>17</v>
      </c>
      <c r="B10" s="0" t="n">
        <f aca="false">COUNTIF('Survey Responses'!C2:C31,"Rarely")</f>
        <v>3</v>
      </c>
    </row>
    <row r="11" customFormat="false" ht="15" hidden="false" customHeight="false" outlineLevel="0" collapsed="false">
      <c r="A11" s="8" t="s">
        <v>25</v>
      </c>
      <c r="B11" s="0" t="n">
        <f aca="false">COUNTIF('Survey Responses'!C2:C31,"Sometimes")</f>
        <v>10</v>
      </c>
    </row>
    <row r="12" customFormat="false" ht="15" hidden="false" customHeight="false" outlineLevel="0" collapsed="false">
      <c r="A12" s="8" t="s">
        <v>33</v>
      </c>
      <c r="B12" s="0" t="n">
        <f aca="false">COUNTIF('Survey Responses'!C2:C31,"Often")</f>
        <v>8</v>
      </c>
    </row>
    <row r="13" customFormat="false" ht="15" hidden="false" customHeight="false" outlineLevel="0" collapsed="false">
      <c r="A13" s="8" t="s">
        <v>68</v>
      </c>
      <c r="B13" s="0" t="n">
        <f aca="false">COUNTIF('Survey Responses'!C2:C31,"Always")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2026-05-01T14:39:29Z</dcterms:created>
  <dc:creator>openpyxl</dc:creator>
  <dc:description/>
  <dc:language>en-US</dc:language>
  <cp:lastModifiedBy/>
  <dcterms:modified xsi:type="dcterms:W3CDTF">2026-05-01T14:39:29Z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